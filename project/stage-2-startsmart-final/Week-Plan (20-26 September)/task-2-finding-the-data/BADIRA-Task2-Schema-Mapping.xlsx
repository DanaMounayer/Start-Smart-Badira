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ping" sheetId="1" state="visible" r:id="rId3"/>
    <sheet name="Datasets" sheetId="2" state="visible" r:id="rId4"/>
    <sheet name="Method &amp; evid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US RCT 1998 · high-risk, 4 strata</t>
        </r>
      </text>
    </comment>
    <comment ref="C5" authorId="0">
      <text>
        <r>
          <rPr>
            <sz val="10"/>
            <rFont val="Arial"/>
            <family val="2"/>
          </rPr>
          <t xml:space="preserve">US RCT 1993 · low-risk nulliparous</t>
        </r>
      </text>
    </comment>
    <comment ref="D5" authorId="0">
      <text>
        <r>
          <rPr>
            <sz val="10"/>
            <rFont val="Arial"/>
            <family val="2"/>
          </rPr>
          <t xml:space="preserve">US cohort 2010-13 · nulliparous</t>
        </r>
      </text>
    </comment>
    <comment ref="E5" authorId="0">
      <text>
        <r>
          <rPr>
            <sz val="10"/>
            <rFont val="Arial"/>
            <family val="2"/>
          </rPr>
          <t xml:space="preserve">Saudi · 3 Riyadh hospitals 2013-15</t>
        </r>
      </text>
    </comment>
    <comment ref="F5" authorId="0">
      <text>
        <r>
          <rPr>
            <sz val="10"/>
            <rFont val="Arial"/>
            <family val="2"/>
          </rPr>
          <t xml:space="preserve">Saudi · single centre</t>
        </r>
      </text>
    </comment>
    <comment ref="G5" authorId="0">
      <text>
        <r>
          <rPr>
            <sz val="10"/>
            <rFont val="Arial"/>
            <family val="2"/>
          </rPr>
          <t xml:space="preserve">UAE · Al Ain, enrolled ~12 wk</t>
        </r>
      </text>
    </comment>
    <comment ref="H5" authorId="0">
      <text>
        <r>
          <rPr>
            <sz val="10"/>
            <rFont val="Arial"/>
            <family val="2"/>
          </rPr>
          <t xml:space="preserve">Qatar · birth cohort</t>
        </r>
      </text>
    </comment>
    <comment ref="I5" authorId="0">
      <text>
        <r>
          <rPr>
            <sz val="10"/>
            <rFont val="Arial"/>
            <family val="2"/>
          </rPr>
          <t xml:space="preserve">Unverified · 410 high-risk</t>
        </r>
      </text>
    </comment>
    <comment ref="J5" authorId="0">
      <text>
        <r>
          <rPr>
            <sz val="10"/>
            <rFont val="Arial"/>
            <family val="2"/>
          </rPr>
          <t xml:space="preserve">Bangladesh · 6 vital signs</t>
        </r>
      </text>
    </comment>
  </commentList>
</comments>
</file>

<file path=xl/sharedStrings.xml><?xml version="1.0" encoding="utf-8"?>
<sst xmlns="http://schemas.openxmlformats.org/spreadsheetml/2006/main" count="230" uniqueCount="166">
  <si>
    <t xml:space="preserve">BADIRA — Task 2: Woman Schema x candidate datasets</t>
  </si>
  <si>
    <t xml:space="preserve">Each cell: present / partial / derivable / absent.  Pre-filled cells are justified on the "Method &amp; evidence" tab. Blank = fill from the codebook.</t>
  </si>
  <si>
    <t xml:space="preserve">Owner: Dana  ·  Due Thursday 24 September 2026</t>
  </si>
  <si>
    <t xml:space="preserve">Woman Schema field</t>
  </si>
  <si>
    <t xml:space="preserve">MFMU HRA</t>
  </si>
  <si>
    <t xml:space="preserve">MFMU LRA</t>
  </si>
  <si>
    <t xml:space="preserve">nuMoM2b</t>
  </si>
  <si>
    <t xml:space="preserve">RAHMA</t>
  </si>
  <si>
    <t xml:space="preserve">Dr. Rania's records</t>
  </si>
  <si>
    <t xml:space="preserve">Mutaba'ah</t>
  </si>
  <si>
    <t xml:space="preserve">QBiC</t>
  </si>
  <si>
    <t xml:space="preserve">Dryad metformin</t>
  </si>
  <si>
    <t xml:space="preserve">UCI (excluded)</t>
  </si>
  <si>
    <t xml:space="preserve">Note / what to check</t>
  </si>
  <si>
    <t xml:space="preserve">age</t>
  </si>
  <si>
    <t xml:space="preserve">present</t>
  </si>
  <si>
    <t xml:space="preserve">nationality</t>
  </si>
  <si>
    <t xml:space="preserve">absent</t>
  </si>
  <si>
    <t xml:space="preserve">Matters for external validity — a US-trained model on Saudi women</t>
  </si>
  <si>
    <t xml:space="preserve">gravidity</t>
  </si>
  <si>
    <t xml:space="preserve">partial</t>
  </si>
  <si>
    <t xml:space="preserve">nuMoM2b: nulliparous, but prior pregnancy loss possible — check the codebook</t>
  </si>
  <si>
    <t xml:space="preserve">parity</t>
  </si>
  <si>
    <t xml:space="preserve">previous preeclampsia</t>
  </si>
  <si>
    <t xml:space="preserve">The strongest SMFM high-risk factor. Only HRA can contain it (606 women)</t>
  </si>
  <si>
    <t xml:space="preserve">previous preterm birth</t>
  </si>
  <si>
    <t xml:space="preserve">previous GDM</t>
  </si>
  <si>
    <t xml:space="preserve">chronic hypertension</t>
  </si>
  <si>
    <t xml:space="preserve">HRA: 774 women enrolled in this stratum</t>
  </si>
  <si>
    <t xml:space="preserve">diabetes</t>
  </si>
  <si>
    <t xml:space="preserve">HRA: 471 women, pregestational insulin-treated</t>
  </si>
  <si>
    <t xml:space="preserve">kidney disease</t>
  </si>
  <si>
    <t xml:space="preserve">autoimmune disease</t>
  </si>
  <si>
    <t xml:space="preserve">BMI</t>
  </si>
  <si>
    <t xml:space="preserve">blood pressure</t>
  </si>
  <si>
    <t xml:space="preserve">gestational age at measurement</t>
  </si>
  <si>
    <t xml:space="preserve">RAHMA: VERIFY — recruitment appears to be at delivery; is the time axis reconstructable?</t>
  </si>
  <si>
    <t xml:space="preserve">singleton or multiple</t>
  </si>
  <si>
    <t xml:space="preserve">HRA: 688 multifetal. nuMoM2b and LRA are singleton-only by design</t>
  </si>
  <si>
    <t xml:space="preserve">family history</t>
  </si>
  <si>
    <t xml:space="preserve">outcome label</t>
  </si>
  <si>
    <t xml:space="preserve">Record WHICH definition each dataset used. HRA/LRA are pre-2013 (proteinuria required)</t>
  </si>
  <si>
    <t xml:space="preserve">outcome timing</t>
  </si>
  <si>
    <t xml:space="preserve">Needed to separate early-onset from term preeclampsia</t>
  </si>
  <si>
    <t xml:space="preserve">SUMMARY</t>
  </si>
  <si>
    <t xml:space="preserve">Fields present</t>
  </si>
  <si>
    <t xml:space="preserve">Fields partial</t>
  </si>
  <si>
    <t xml:space="preserve">Fields derivable</t>
  </si>
  <si>
    <t xml:space="preserve">Fields absent</t>
  </si>
  <si>
    <t xml:space="preserve">Fields not yet checked</t>
  </si>
  <si>
    <t xml:space="preserve">Blank cells. Coverage is provisional until this row reads 0.</t>
  </si>
  <si>
    <t xml:space="preserve">COVERAGE</t>
  </si>
  <si>
    <t xml:space="preserve">present=1, derivable=0.75, partial=0.5, absent=0, divided by 18. Rule stated on "Method &amp; evidence".</t>
  </si>
  <si>
    <t xml:space="preserve">PE CASE COUNT (est.)</t>
  </si>
  <si>
    <t xml:space="preserve">see note</t>
  </si>
  <si>
    <t xml:space="preserve">several hundred+</t>
  </si>
  <si>
    <t xml:space="preserve">~175</t>
  </si>
  <si>
    <t xml:space="preserve">unknown — ask</t>
  </si>
  <si>
    <t xml:space="preserve">unknown</t>
  </si>
  <si>
    <t xml:space="preserve">low</t>
  </si>
  <si>
    <t xml:space="preserve">~60-80</t>
  </si>
  <si>
    <t xml:space="preserve">0</t>
  </si>
  <si>
    <t xml:space="preserve">HRA/LRA: placebo arm only if the treatment arm is excluded (~1,270 / ~1,565 women). RAHMA: 1.2% of 14,568.</t>
  </si>
  <si>
    <t xml:space="preserve">These two rows decide everything. Coverage and case count pull in opposite directions — that tension is the recommendation.</t>
  </si>
  <si>
    <t xml:space="preserve">LEGEND</t>
  </si>
  <si>
    <t xml:space="preserve">The field exists in the dataset and is populated</t>
  </si>
  <si>
    <t xml:space="preserve">derivable</t>
  </si>
  <si>
    <t xml:space="preserve">Not a column, but computable from what is there (e.g. BMI from height + weight)</t>
  </si>
  <si>
    <t xml:space="preserve">Present for some women, or at lower quality/resolution than the schema needs</t>
  </si>
  <si>
    <t xml:space="preserve">Not in the dataset, or structurally impossible (e.g. parity in a nulliparous cohort)</t>
  </si>
  <si>
    <t xml:space="preserve">(blank)</t>
  </si>
  <si>
    <t xml:space="preserve">Not yet checked — go to the codebook</t>
  </si>
  <si>
    <t xml:space="preserve">Candidate datasets — reference</t>
  </si>
  <si>
    <t xml:space="preserve">Dataset</t>
  </si>
  <si>
    <t xml:space="preserve">Origin</t>
  </si>
  <si>
    <t xml:space="preserve">Size</t>
  </si>
  <si>
    <t xml:space="preserve">Preeclampsia recorded</t>
  </si>
  <si>
    <t xml:space="preserve">Access route</t>
  </si>
  <si>
    <t xml:space="preserve">Link</t>
  </si>
  <si>
    <t xml:space="preserve">MFMU HRA — High-Risk Aspirin</t>
  </si>
  <si>
    <t xml:space="preserve">US — NICHD MFMU randomised trial (Caritis, NEJM 1998)</t>
  </si>
  <si>
    <t xml:space="preserve">2,539 randomised in 4 high-risk strata: 471 diabetes, 774 chronic HTN, 688 multifetal, 606 previous preeclampsia</t>
  </si>
  <si>
    <t xml:space="preserve">Yes — adjudicated trial outcome, pre-2013 definition</t>
  </si>
  <si>
    <t xml:space="preserve">NICHD DASH: request form + DUA signed by institutional AOR + IRB if required; committee responds within 3 weeks</t>
  </si>
  <si>
    <t xml:space="preserve">open</t>
  </si>
  <si>
    <t xml:space="preserve">MFMU LRA — Low-Risk Aspirin</t>
  </si>
  <si>
    <t xml:space="preserve">US — NICHD MFMU randomised trial (Sibai, NEJM 1993)</t>
  </si>
  <si>
    <t xml:space="preserve">3,135 normotensive nulliparous, enrolled 13-26 weeks (1,570 aspirin / 1,565 placebo)</t>
  </si>
  <si>
    <t xml:space="preserve">Same DASH route</t>
  </si>
  <si>
    <t xml:space="preserve">US — nulliparous cohort, 8 clinical centres, 2010-2013</t>
  </si>
  <si>
    <t xml:space="preserve">10,037 enrolled; 3 antenatal visits + delivery</t>
  </si>
  <si>
    <t xml:space="preserve">Yes — a primary outcome; HDP ~13.8% in analysed subsets</t>
  </si>
  <si>
    <t xml:space="preserve">RAHMA — Riyadh Mother and Baby</t>
  </si>
  <si>
    <t xml:space="preserve">Saudi — 3 Riyadh hospitals (MOH, military, university), Nov 2013 - Mar 2015</t>
  </si>
  <si>
    <t xml:space="preserve">14,568 women of 16,012 delivering</t>
  </si>
  <si>
    <t xml:space="preserve">Yes — 1.2% preeclampsia; 4.0% all hypertensive disorders; 0 eclampsia</t>
  </si>
  <si>
    <t xml:space="preserve">Restricted. Contact the principal investigators first; they name the ethics route</t>
  </si>
  <si>
    <t xml:space="preserve">Dr. Rania's hospital records</t>
  </si>
  <si>
    <t xml:space="preserve">Saudi — local, single centre</t>
  </si>
  <si>
    <t xml:space="preserve">Unknown — ask at the Wednesday meeting</t>
  </si>
  <si>
    <t xml:space="preserve">Assumed yes; whether PE is coded distinctly from gestational hypertension must be confirmed</t>
  </si>
  <si>
    <t xml:space="preserve">Needs IRB. Ask her directly</t>
  </si>
  <si>
    <t xml:space="preserve">—</t>
  </si>
  <si>
    <t xml:space="preserve">Mutaba'ah Study</t>
  </si>
  <si>
    <t xml:space="preserve">UAE — Al Ain, UAEU Institute of Public Health with 3 major hospitals</t>
  </si>
  <si>
    <t xml:space="preserve">13,000+ recruited (target 10,000); enrolled at ~12 weeks</t>
  </si>
  <si>
    <t xml:space="preserve">Not confirmed — needs checking</t>
  </si>
  <si>
    <t xml:space="preserve">No public portal found. Collaboration request, supervisor to supervisor</t>
  </si>
  <si>
    <t xml:space="preserve">Qatar Birth Cohort (QBiC)</t>
  </si>
  <si>
    <t xml:space="preserve">Qatar — MOPH-Q with Qatar Biobank, WCM-Q, Sidra, Hamad Medical</t>
  </si>
  <si>
    <t xml:space="preserve">~3,000 target; mother-child-father triads</t>
  </si>
  <si>
    <t xml:space="preserve">Not confirmed</t>
  </si>
  <si>
    <t xml:space="preserve">Qatar Biobank Research Portal — a formal published route</t>
  </si>
  <si>
    <t xml:space="preserve">Dryad — metformin prevention trial</t>
  </si>
  <si>
    <t xml:space="preserve">Not verified — record could not be opened</t>
  </si>
  <si>
    <t xml:space="preserve">410 high-risk women (as listed)</t>
  </si>
  <si>
    <t xml:space="preserve">Yes, as listed — with survival data</t>
  </si>
  <si>
    <t xml:space="preserve">Open download, immediate</t>
  </si>
  <si>
    <t xml:space="preserve">UCI Maternal Health Risk (excluded)</t>
  </si>
  <si>
    <t xml:space="preserve">Bangladesh — IoT collection, rural clinics</t>
  </si>
  <si>
    <t xml:space="preserve">1,014 rows, 6 columns + a generic 3-level risk label</t>
  </si>
  <si>
    <t xml:space="preserve">No — no preeclampsia outcome exists</t>
  </si>
  <si>
    <t xml:space="preserve">Open, immediate. Excluded: cannot answer the question</t>
  </si>
  <si>
    <t xml:space="preserve">Method, coding rules, and what the pre-filled cells are based on</t>
  </si>
  <si>
    <t xml:space="preserve">How to fill this in</t>
  </si>
  <si>
    <t xml:space="preserve">One column per candidate dataset, one row per Woman Schema field. Open each dataset codebook and mark every cell.</t>
  </si>
  <si>
    <t xml:space="preserve">Use the dropdown: present / partial / derivable / absent. Colours apply automatically.</t>
  </si>
  <si>
    <t xml:space="preserve">Coverage and the count rows are formulas. They update as you fill, so do not overwrite them.</t>
  </si>
  <si>
    <t xml:space="preserve">Coverage is provisional until the "Fields not yet checked" row reads 0 for that column.</t>
  </si>
  <si>
    <t xml:space="preserve">Coverage formula</t>
  </si>
  <si>
    <t xml:space="preserve">COVERAGE = (present x 1 + derivable x 0.75 + partial x 0.5 + absent x 0) / 18</t>
  </si>
  <si>
    <t xml:space="preserve">The weights are a judgement, not a standard. State them whenever the number is quoted.</t>
  </si>
  <si>
    <t xml:space="preserve">Coverage says how much of the schema a dataset can fill. It says nothing about label quality or population match.</t>
  </si>
  <si>
    <t xml:space="preserve">Pre-filled cells — nuMoM2b</t>
  </si>
  <si>
    <t xml:space="preserve">Nulliparous singleton pregnancies by design, so six fields are structurally impossible, not merely missing:</t>
  </si>
  <si>
    <t xml:space="preserve">parity (constant 0) · previous preeclampsia · previous preterm birth · previous GDM · singleton/multiple (constant) · gravidity (near-constant)</t>
  </si>
  <si>
    <t xml:space="preserve">A model trained on nuMoM2b alone can never learn previous preeclampsia — the strongest single SMFM high-risk factor.</t>
  </si>
  <si>
    <t xml:space="preserve">Source: nuMoM2b methods, AJOG 2015; NICHD study page.</t>
  </si>
  <si>
    <t xml:space="preserve">Pre-filled cells — MFMU HRA</t>
  </si>
  <si>
    <t xml:space="preserve">The four enrolment strata guarantee these fields exist and are well populated:</t>
  </si>
  <si>
    <t xml:space="preserve">471 pregestational insulin-treated diabetes · 774 chronic hypertension · 688 multifetal gestation · 606 previous preeclampsia</t>
  </si>
  <si>
    <t xml:space="preserve">Source: Caritis et al., NEJM 1998;338:701-5.</t>
  </si>
  <si>
    <t xml:space="preserve">Pre-filled cells — MFMU LRA</t>
  </si>
  <si>
    <t xml:space="preserve">Normotensive nulliparous women enrolled at 13-26 weeks, so parity and the three "previous pregnancy" fields cannot exist.</t>
  </si>
  <si>
    <t xml:space="preserve">Blood pressure and gestational age at measurement are present by the enrolment criteria themselves.</t>
  </si>
  <si>
    <t xml:space="preserve">Source: Sibai et al., NEJM 1993;329:1213-18.</t>
  </si>
  <si>
    <t xml:space="preserve">Pre-filled cells — RAHMA</t>
  </si>
  <si>
    <t xml:space="preserve">Marked present where a published RAHMA sub-analysis reports the variable: age, nationality, parity, gravidity, BMI,</t>
  </si>
  <si>
    <t xml:space="preserve">diabetes (24% GDM / 4.3% pre-GDM), chronic hypertension (4.0% HDP), blood pressure, and the preeclampsia outcome (1.2%).</t>
  </si>
  <si>
    <t xml:space="preserve">VERIFY: gestational age at measurement. Recruitment appears to be at delivery with records abstracted retrospectively.</t>
  </si>
  <si>
    <t xml:space="preserve">If the time axis cannot be reconstructed, RAHMA can describe a pregnancy but may not support prediction from 11-14 weeks.</t>
  </si>
  <si>
    <t xml:space="preserve">Source: RAHMA cohort profile, PLOS ONE 2016, 10.1371/journal.pone.0150297.</t>
  </si>
  <si>
    <t xml:space="preserve">Pre-filled cells — UCI</t>
  </si>
  <si>
    <t xml:space="preserve">Six columns only: age, systolic BP, diastolic BP, blood sugar, body temperature, heart rate, plus a 3-level generic risk label.</t>
  </si>
  <si>
    <t xml:space="preserve">Everything else is absent, including any preeclampsia outcome. Kept in the sheet because knowing why it fails is itself an answer.</t>
  </si>
  <si>
    <t xml:space="preserve">The label problem — read before quoting any prevalence</t>
  </si>
  <si>
    <t xml:space="preserve">HRA and LRA are early-1990s trials, so their preeclampsia label uses the pre-2013 definition in which proteinuria was required.</t>
  </si>
  <si>
    <t xml:space="preserve">ACOG removed that requirement in 2013. A 1990s label and a 2024 label are not the same variable.</t>
  </si>
  <si>
    <t xml:space="preserve">ACOG, NICE and ISSHP also differ on whether fetal growth restriction can establish the diagnosis (ACOG: no; NICE and ISSHP: yes).</t>
  </si>
  <si>
    <t xml:space="preserve">Record which definition each dataset used, in the outcome label row. Prevalence figures are not comparable across definitions.</t>
  </si>
  <si>
    <t xml:space="preserve">Open questions</t>
  </si>
  <si>
    <t xml:space="preserve">HRA record size: the published trial randomised 2,539; the DASH listing reportedly shows 3,252. Which does the file hold?</t>
  </si>
  <si>
    <t xml:space="preserve">DASH study IDs for all three studies.</t>
  </si>
  <si>
    <t xml:space="preserve">Dryad record: unverified — open it and confirm the study, country and licence.</t>
  </si>
  <si>
    <t xml:space="preserve">Kaggle set: run the missingness test. Real clinical data has missing values; a file with none is almost certainly synthetic.</t>
  </si>
  <si>
    <t xml:space="preserve">Does our institution already hold a DASH Data Use Agreement? If another department does, the AOR step may be much faster.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</si>
</sst>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61E2D"/>
      <name val="Arial"/>
      <family val="0"/>
      <charset val="1"/>
    </font>
    <font>
      <i val="true"/>
      <sz val="9"/>
      <color rgb="FF6E6478"/>
      <name val="Arial"/>
      <family val="0"/>
      <charset val="1"/>
    </font>
    <font>
      <sz val="9"/>
      <color rgb="FF6E6478"/>
      <name val="Arial"/>
      <family val="0"/>
      <charset val="1"/>
    </font>
    <font>
      <b val="true"/>
      <sz val="10"/>
      <color rgb="FF261E2D"/>
      <name val="Arial"/>
      <family val="0"/>
      <charset val="1"/>
    </font>
    <font>
      <b val="true"/>
      <sz val="10"/>
      <color rgb="FF241D2A"/>
      <name val="Arial"/>
      <family val="0"/>
      <charset val="1"/>
    </font>
    <font>
      <sz val="10"/>
      <color rgb="FF241D2A"/>
      <name val="Arial"/>
      <family val="0"/>
      <charset val="1"/>
    </font>
    <font>
      <b val="true"/>
      <sz val="11"/>
      <color rgb="FF3B2F45"/>
      <name val="Arial"/>
      <family val="0"/>
      <charset val="1"/>
    </font>
    <font>
      <sz val="10"/>
      <color rgb="FF261E2D"/>
      <name val="Arial"/>
      <family val="0"/>
      <charset val="1"/>
    </font>
    <font>
      <i val="true"/>
      <sz val="9"/>
      <color rgb="FF3B2F45"/>
      <name val="Arial"/>
      <family val="0"/>
      <charset val="1"/>
    </font>
    <font>
      <b val="true"/>
      <sz val="10"/>
      <color rgb="FF3B2F45"/>
      <name val="Arial"/>
      <family val="0"/>
      <charset val="1"/>
    </font>
    <font>
      <sz val="10"/>
      <name val="Arial"/>
      <family val="2"/>
    </font>
    <font>
      <b val="true"/>
      <sz val="9"/>
      <color rgb="FF241D2A"/>
      <name val="Arial"/>
      <family val="0"/>
      <charset val="1"/>
    </font>
    <font>
      <sz val="9"/>
      <color rgb="FF241D2A"/>
      <name val="Arial"/>
      <family val="0"/>
      <charset val="1"/>
    </font>
    <font>
      <sz val="9"/>
      <color rgb="FF2F5C8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EFE7EC"/>
        <bgColor rgb="FFF3E3E3"/>
      </patternFill>
    </fill>
    <fill>
      <patternFill patternType="solid">
        <fgColor rgb="FFFAF8F9"/>
        <bgColor rgb="FFFFFFFF"/>
      </patternFill>
    </fill>
    <fill>
      <patternFill patternType="solid">
        <fgColor rgb="FFE1EBE0"/>
        <bgColor rgb="FFDCE6F2"/>
      </patternFill>
    </fill>
    <fill>
      <patternFill patternType="solid">
        <fgColor rgb="FFF3E3E3"/>
        <bgColor rgb="FFEFE7EC"/>
      </patternFill>
    </fill>
    <fill>
      <patternFill patternType="solid">
        <fgColor rgb="FFD6E9D2"/>
        <bgColor rgb="FFE1EBE0"/>
      </patternFill>
    </fill>
    <fill>
      <patternFill patternType="solid">
        <fgColor rgb="FFDCE6F2"/>
        <bgColor rgb="FFE1EBE0"/>
      </patternFill>
    </fill>
    <fill>
      <patternFill patternType="solid">
        <fgColor rgb="FFFBF0CE"/>
        <bgColor rgb="FFF3E3E3"/>
      </patternFill>
    </fill>
    <fill>
      <patternFill patternType="solid">
        <fgColor rgb="FFF2D9D9"/>
        <bgColor rgb="FFF3E3E3"/>
      </patternFill>
    </fill>
    <fill>
      <patternFill patternType="solid">
        <fgColor rgb="FFFFFFFF"/>
        <bgColor rgb="FFFAF8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0D6"/>
      </left>
      <right style="thin">
        <color rgb="FFD8D0D6"/>
      </right>
      <top style="thin">
        <color rgb="FFD8D0D6"/>
      </top>
      <bottom style="thin">
        <color rgb="FFD8D0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6E9D2"/>
        </patternFill>
      </fill>
    </dxf>
    <dxf>
      <fill>
        <patternFill>
          <bgColor rgb="FFFBF0CE"/>
        </patternFill>
      </fill>
    </dxf>
    <dxf>
      <fill>
        <patternFill>
          <bgColor rgb="FFDCE6F2"/>
        </patternFill>
      </fill>
    </dxf>
    <dxf>
      <fill>
        <patternFill>
          <bgColor rgb="FFF2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3E3E3"/>
      <rgbColor rgb="FF808080"/>
      <rgbColor rgb="FF9999FF"/>
      <rgbColor rgb="FF993366"/>
      <rgbColor rgb="FFFBF0CE"/>
      <rgbColor rgb="FFDCE6F2"/>
      <rgbColor rgb="FF660066"/>
      <rgbColor rgb="FFFF8080"/>
      <rgbColor rgb="FF0066CC"/>
      <rgbColor rgb="FFD8D0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1EBE0"/>
      <rgbColor rgb="FFD6E9D2"/>
      <rgbColor rgb="FFFAF8F9"/>
      <rgbColor rgb="FFEFE7EC"/>
      <rgbColor rgb="FFFF99CC"/>
      <rgbColor rgb="FFCC99FF"/>
      <rgbColor rgb="FFF2D9D9"/>
      <rgbColor rgb="FF3366FF"/>
      <rgbColor rgb="FF33CCCC"/>
      <rgbColor rgb="FF99CC00"/>
      <rgbColor rgb="FFFFCC00"/>
      <rgbColor rgb="FFFF9900"/>
      <rgbColor rgb="FFFF6600"/>
      <rgbColor rgb="FF6E6478"/>
      <rgbColor rgb="FF969696"/>
      <rgbColor rgb="FF003366"/>
      <rgbColor rgb="FF339966"/>
      <rgbColor rgb="FF241D2A"/>
      <rgbColor rgb="FF261E2D"/>
      <rgbColor rgb="FF993300"/>
      <rgbColor rgb="FF993366"/>
      <rgbColor rgb="FF2F5C8F"/>
      <rgbColor rgb="FF3B2F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ash.nichd.nih.gov/" TargetMode="External"/><Relationship Id="rId2" Type="http://schemas.openxmlformats.org/officeDocument/2006/relationships/hyperlink" Target="https://dash.nichd.nih.gov/" TargetMode="External"/><Relationship Id="rId3" Type="http://schemas.openxmlformats.org/officeDocument/2006/relationships/hyperlink" Target="https://www.nichd.nih.gov/research/supported/nuMoM2b" TargetMode="External"/><Relationship Id="rId4" Type="http://schemas.openxmlformats.org/officeDocument/2006/relationships/hyperlink" Target="https://journals.plos.org/plosone/article?id=10.1371%2Fjournal.pone.0150297" TargetMode="External"/><Relationship Id="rId5" Type="http://schemas.openxmlformats.org/officeDocument/2006/relationships/hyperlink" Target="https://www.populationmedicine.eu/The-mutaba-ah-Study-a-cohort-profile-of-the-largest-mother-and-child-prospective,163649,0,2.html" TargetMode="External"/><Relationship Id="rId6" Type="http://schemas.openxmlformats.org/officeDocument/2006/relationships/hyperlink" Target="https://www.qatarbiobank.org.qa/participate/qatar-birth-cohort-study/" TargetMode="External"/><Relationship Id="rId7" Type="http://schemas.openxmlformats.org/officeDocument/2006/relationships/hyperlink" Target="https://datadryad.org/dataset/doi%3A10.5061/dryad.kprr4xhk9" TargetMode="External"/><Relationship Id="rId8" Type="http://schemas.openxmlformats.org/officeDocument/2006/relationships/hyperlink" Target="https://archive.ics.uci.edu/dataset/863/maternal+health+ris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5"/>
    <col collapsed="false" customWidth="true" hidden="false" outlineLevel="0" max="11" min="11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4" t="s">
        <v>13</v>
      </c>
    </row>
    <row r="6" customFormat="false" ht="15" hidden="false" customHeight="false" outlineLevel="0" collapsed="false">
      <c r="A6" s="6" t="s">
        <v>14</v>
      </c>
      <c r="B6" s="7" t="s">
        <v>15</v>
      </c>
      <c r="C6" s="7" t="s">
        <v>15</v>
      </c>
      <c r="D6" s="7" t="s">
        <v>15</v>
      </c>
      <c r="E6" s="7" t="s">
        <v>15</v>
      </c>
      <c r="F6" s="7"/>
      <c r="G6" s="7"/>
      <c r="H6" s="7"/>
      <c r="I6" s="7"/>
      <c r="J6" s="7" t="s">
        <v>15</v>
      </c>
      <c r="K6" s="8"/>
    </row>
    <row r="7" customFormat="false" ht="15" hidden="false" customHeight="false" outlineLevel="0" collapsed="false">
      <c r="A7" s="9" t="s">
        <v>16</v>
      </c>
      <c r="B7" s="7"/>
      <c r="C7" s="7"/>
      <c r="D7" s="7"/>
      <c r="E7" s="7" t="s">
        <v>15</v>
      </c>
      <c r="F7" s="7"/>
      <c r="G7" s="7"/>
      <c r="H7" s="7"/>
      <c r="I7" s="7"/>
      <c r="J7" s="7" t="s">
        <v>17</v>
      </c>
      <c r="K7" s="8" t="s">
        <v>18</v>
      </c>
    </row>
    <row r="8" customFormat="false" ht="22.35" hidden="false" customHeight="false" outlineLevel="0" collapsed="false">
      <c r="A8" s="6" t="s">
        <v>19</v>
      </c>
      <c r="B8" s="7"/>
      <c r="C8" s="7"/>
      <c r="D8" s="7" t="s">
        <v>20</v>
      </c>
      <c r="E8" s="7" t="s">
        <v>15</v>
      </c>
      <c r="F8" s="7"/>
      <c r="G8" s="7"/>
      <c r="H8" s="7"/>
      <c r="I8" s="7"/>
      <c r="J8" s="7" t="s">
        <v>17</v>
      </c>
      <c r="K8" s="8" t="s">
        <v>21</v>
      </c>
    </row>
    <row r="9" customFormat="false" ht="15" hidden="false" customHeight="false" outlineLevel="0" collapsed="false">
      <c r="A9" s="9" t="s">
        <v>22</v>
      </c>
      <c r="B9" s="7"/>
      <c r="C9" s="7" t="s">
        <v>17</v>
      </c>
      <c r="D9" s="7" t="s">
        <v>17</v>
      </c>
      <c r="E9" s="7" t="s">
        <v>15</v>
      </c>
      <c r="F9" s="7"/>
      <c r="G9" s="7"/>
      <c r="H9" s="7"/>
      <c r="I9" s="7"/>
      <c r="J9" s="7" t="s">
        <v>17</v>
      </c>
      <c r="K9" s="8"/>
    </row>
    <row r="10" customFormat="false" ht="15" hidden="false" customHeight="false" outlineLevel="0" collapsed="false">
      <c r="A10" s="6" t="s">
        <v>23</v>
      </c>
      <c r="B10" s="7" t="s">
        <v>15</v>
      </c>
      <c r="C10" s="7" t="s">
        <v>17</v>
      </c>
      <c r="D10" s="7" t="s">
        <v>17</v>
      </c>
      <c r="E10" s="7"/>
      <c r="F10" s="7"/>
      <c r="G10" s="7"/>
      <c r="H10" s="7"/>
      <c r="I10" s="7"/>
      <c r="J10" s="7" t="s">
        <v>17</v>
      </c>
      <c r="K10" s="8" t="s">
        <v>24</v>
      </c>
    </row>
    <row r="11" customFormat="false" ht="15" hidden="false" customHeight="false" outlineLevel="0" collapsed="false">
      <c r="A11" s="9" t="s">
        <v>25</v>
      </c>
      <c r="B11" s="7"/>
      <c r="C11" s="7" t="s">
        <v>17</v>
      </c>
      <c r="D11" s="7" t="s">
        <v>17</v>
      </c>
      <c r="E11" s="7"/>
      <c r="F11" s="7"/>
      <c r="G11" s="7"/>
      <c r="H11" s="7"/>
      <c r="I11" s="7"/>
      <c r="J11" s="7" t="s">
        <v>17</v>
      </c>
      <c r="K11" s="8"/>
    </row>
    <row r="12" customFormat="false" ht="15" hidden="false" customHeight="false" outlineLevel="0" collapsed="false">
      <c r="A12" s="6" t="s">
        <v>26</v>
      </c>
      <c r="B12" s="7"/>
      <c r="C12" s="7" t="s">
        <v>17</v>
      </c>
      <c r="D12" s="7" t="s">
        <v>17</v>
      </c>
      <c r="E12" s="7"/>
      <c r="F12" s="7"/>
      <c r="G12" s="7"/>
      <c r="H12" s="7"/>
      <c r="I12" s="7"/>
      <c r="J12" s="7" t="s">
        <v>17</v>
      </c>
      <c r="K12" s="8"/>
    </row>
    <row r="13" customFormat="false" ht="15" hidden="false" customHeight="false" outlineLevel="0" collapsed="false">
      <c r="A13" s="9" t="s">
        <v>27</v>
      </c>
      <c r="B13" s="7" t="s">
        <v>15</v>
      </c>
      <c r="C13" s="7"/>
      <c r="D13" s="7"/>
      <c r="E13" s="7" t="s">
        <v>15</v>
      </c>
      <c r="F13" s="7"/>
      <c r="G13" s="7"/>
      <c r="H13" s="7"/>
      <c r="I13" s="7"/>
      <c r="J13" s="7" t="s">
        <v>17</v>
      </c>
      <c r="K13" s="8" t="s">
        <v>28</v>
      </c>
    </row>
    <row r="14" customFormat="false" ht="15" hidden="false" customHeight="false" outlineLevel="0" collapsed="false">
      <c r="A14" s="6" t="s">
        <v>29</v>
      </c>
      <c r="B14" s="7" t="s">
        <v>15</v>
      </c>
      <c r="C14" s="7"/>
      <c r="D14" s="7"/>
      <c r="E14" s="7" t="s">
        <v>15</v>
      </c>
      <c r="F14" s="7"/>
      <c r="G14" s="7"/>
      <c r="H14" s="7"/>
      <c r="I14" s="7"/>
      <c r="J14" s="7" t="s">
        <v>17</v>
      </c>
      <c r="K14" s="8" t="s">
        <v>30</v>
      </c>
    </row>
    <row r="15" customFormat="false" ht="15" hidden="false" customHeight="false" outlineLevel="0" collapsed="false">
      <c r="A15" s="9" t="s">
        <v>31</v>
      </c>
      <c r="B15" s="7"/>
      <c r="C15" s="7"/>
      <c r="D15" s="7"/>
      <c r="E15" s="7"/>
      <c r="F15" s="7"/>
      <c r="G15" s="7"/>
      <c r="H15" s="7"/>
      <c r="I15" s="7"/>
      <c r="J15" s="7" t="s">
        <v>17</v>
      </c>
      <c r="K15" s="8"/>
    </row>
    <row r="16" customFormat="false" ht="15" hidden="false" customHeight="false" outlineLevel="0" collapsed="false">
      <c r="A16" s="6" t="s">
        <v>32</v>
      </c>
      <c r="B16" s="7"/>
      <c r="C16" s="7"/>
      <c r="D16" s="7"/>
      <c r="E16" s="7"/>
      <c r="F16" s="7"/>
      <c r="G16" s="7"/>
      <c r="H16" s="7"/>
      <c r="I16" s="7"/>
      <c r="J16" s="7" t="s">
        <v>17</v>
      </c>
      <c r="K16" s="8"/>
    </row>
    <row r="17" customFormat="false" ht="15" hidden="false" customHeight="false" outlineLevel="0" collapsed="false">
      <c r="A17" s="9" t="s">
        <v>33</v>
      </c>
      <c r="B17" s="7"/>
      <c r="C17" s="7"/>
      <c r="D17" s="7"/>
      <c r="E17" s="7" t="s">
        <v>15</v>
      </c>
      <c r="F17" s="7"/>
      <c r="G17" s="7"/>
      <c r="H17" s="7"/>
      <c r="I17" s="7"/>
      <c r="J17" s="7" t="s">
        <v>17</v>
      </c>
      <c r="K17" s="8"/>
    </row>
    <row r="18" customFormat="false" ht="15" hidden="false" customHeight="false" outlineLevel="0" collapsed="false">
      <c r="A18" s="6" t="s">
        <v>34</v>
      </c>
      <c r="B18" s="7" t="s">
        <v>15</v>
      </c>
      <c r="C18" s="7" t="s">
        <v>15</v>
      </c>
      <c r="D18" s="7" t="s">
        <v>15</v>
      </c>
      <c r="E18" s="7" t="s">
        <v>15</v>
      </c>
      <c r="F18" s="7"/>
      <c r="G18" s="7"/>
      <c r="H18" s="7"/>
      <c r="I18" s="7"/>
      <c r="J18" s="7" t="s">
        <v>15</v>
      </c>
      <c r="K18" s="8"/>
    </row>
    <row r="19" customFormat="false" ht="22.35" hidden="false" customHeight="false" outlineLevel="0" collapsed="false">
      <c r="A19" s="9" t="s">
        <v>35</v>
      </c>
      <c r="B19" s="7"/>
      <c r="C19" s="7" t="s">
        <v>15</v>
      </c>
      <c r="D19" s="7" t="s">
        <v>15</v>
      </c>
      <c r="E19" s="7"/>
      <c r="F19" s="7"/>
      <c r="G19" s="7"/>
      <c r="H19" s="7"/>
      <c r="I19" s="7"/>
      <c r="J19" s="7" t="s">
        <v>17</v>
      </c>
      <c r="K19" s="8" t="s">
        <v>36</v>
      </c>
    </row>
    <row r="20" customFormat="false" ht="15" hidden="false" customHeight="false" outlineLevel="0" collapsed="false">
      <c r="A20" s="6" t="s">
        <v>37</v>
      </c>
      <c r="B20" s="7" t="s">
        <v>15</v>
      </c>
      <c r="C20" s="7"/>
      <c r="D20" s="7" t="s">
        <v>17</v>
      </c>
      <c r="E20" s="7"/>
      <c r="F20" s="7"/>
      <c r="G20" s="7"/>
      <c r="H20" s="7"/>
      <c r="I20" s="7"/>
      <c r="J20" s="7" t="s">
        <v>17</v>
      </c>
      <c r="K20" s="8" t="s">
        <v>38</v>
      </c>
    </row>
    <row r="21" customFormat="false" ht="15" hidden="false" customHeight="false" outlineLevel="0" collapsed="false">
      <c r="A21" s="9" t="s">
        <v>39</v>
      </c>
      <c r="B21" s="7"/>
      <c r="C21" s="7"/>
      <c r="D21" s="7"/>
      <c r="E21" s="7"/>
      <c r="F21" s="7"/>
      <c r="G21" s="7"/>
      <c r="H21" s="7"/>
      <c r="I21" s="7"/>
      <c r="J21" s="7" t="s">
        <v>17</v>
      </c>
      <c r="K21" s="8"/>
    </row>
    <row r="22" customFormat="false" ht="22.35" hidden="false" customHeight="false" outlineLevel="0" collapsed="false">
      <c r="A22" s="6" t="s">
        <v>40</v>
      </c>
      <c r="B22" s="7" t="s">
        <v>15</v>
      </c>
      <c r="C22" s="7" t="s">
        <v>15</v>
      </c>
      <c r="D22" s="7" t="s">
        <v>15</v>
      </c>
      <c r="E22" s="7" t="s">
        <v>15</v>
      </c>
      <c r="F22" s="7"/>
      <c r="G22" s="7"/>
      <c r="H22" s="7"/>
      <c r="I22" s="7"/>
      <c r="J22" s="7" t="s">
        <v>17</v>
      </c>
      <c r="K22" s="8" t="s">
        <v>41</v>
      </c>
    </row>
    <row r="23" customFormat="false" ht="15" hidden="false" customHeight="false" outlineLevel="0" collapsed="false">
      <c r="A23" s="9" t="s">
        <v>42</v>
      </c>
      <c r="B23" s="7"/>
      <c r="C23" s="7"/>
      <c r="D23" s="7" t="s">
        <v>15</v>
      </c>
      <c r="E23" s="7"/>
      <c r="F23" s="7"/>
      <c r="G23" s="7"/>
      <c r="H23" s="7"/>
      <c r="I23" s="7"/>
      <c r="J23" s="7" t="s">
        <v>17</v>
      </c>
      <c r="K23" s="8" t="s">
        <v>43</v>
      </c>
    </row>
    <row r="24" customFormat="false" ht="15" hidden="false" customHeight="false" outlineLevel="0" collapsed="false">
      <c r="A24" s="10" t="s">
        <v>44</v>
      </c>
    </row>
    <row r="25" customFormat="false" ht="15" hidden="false" customHeight="false" outlineLevel="0" collapsed="false">
      <c r="A25" s="11" t="s">
        <v>45</v>
      </c>
      <c r="B25" s="12" t="n">
        <f aca="false">COUNTIF(B6:B23,"present")</f>
        <v>7</v>
      </c>
      <c r="C25" s="12" t="n">
        <f aca="false">COUNTIF(C6:C23,"present")</f>
        <v>4</v>
      </c>
      <c r="D25" s="12" t="n">
        <f aca="false">COUNTIF(D6:D23,"present")</f>
        <v>5</v>
      </c>
      <c r="E25" s="12" t="n">
        <f aca="false">COUNTIF(E6:E23,"present")</f>
        <v>9</v>
      </c>
      <c r="F25" s="12" t="n">
        <f aca="false">COUNTIF(F6:F23,"present")</f>
        <v>0</v>
      </c>
      <c r="G25" s="12" t="n">
        <f aca="false">COUNTIF(G6:G23,"present")</f>
        <v>0</v>
      </c>
      <c r="H25" s="12" t="n">
        <f aca="false">COUNTIF(H6:H23,"present")</f>
        <v>0</v>
      </c>
      <c r="I25" s="12" t="n">
        <f aca="false">COUNTIF(I6:I23,"present")</f>
        <v>0</v>
      </c>
      <c r="J25" s="12" t="n">
        <f aca="false">COUNTIF(J6:J23,"present")</f>
        <v>2</v>
      </c>
      <c r="K25" s="8"/>
    </row>
    <row r="26" customFormat="false" ht="15" hidden="false" customHeight="false" outlineLevel="0" collapsed="false">
      <c r="A26" s="13" t="s">
        <v>46</v>
      </c>
      <c r="B26" s="14" t="n">
        <f aca="false">COUNTIF(B6:B23,"partial")</f>
        <v>0</v>
      </c>
      <c r="C26" s="14" t="n">
        <f aca="false">COUNTIF(C6:C23,"partial")</f>
        <v>0</v>
      </c>
      <c r="D26" s="14" t="n">
        <f aca="false">COUNTIF(D6:D23,"partial")</f>
        <v>1</v>
      </c>
      <c r="E26" s="14" t="n">
        <f aca="false">COUNTIF(E6:E23,"partial")</f>
        <v>0</v>
      </c>
      <c r="F26" s="14" t="n">
        <f aca="false">COUNTIF(F6:F23,"partial")</f>
        <v>0</v>
      </c>
      <c r="G26" s="14" t="n">
        <f aca="false">COUNTIF(G6:G23,"partial")</f>
        <v>0</v>
      </c>
      <c r="H26" s="14" t="n">
        <f aca="false">COUNTIF(H6:H23,"partial")</f>
        <v>0</v>
      </c>
      <c r="I26" s="14" t="n">
        <f aca="false">COUNTIF(I6:I23,"partial")</f>
        <v>0</v>
      </c>
      <c r="J26" s="14" t="n">
        <f aca="false">COUNTIF(J6:J23,"partial")</f>
        <v>0</v>
      </c>
      <c r="K26" s="8"/>
    </row>
    <row r="27" customFormat="false" ht="15" hidden="false" customHeight="false" outlineLevel="0" collapsed="false">
      <c r="A27" s="13" t="s">
        <v>47</v>
      </c>
      <c r="B27" s="14" t="n">
        <f aca="false">COUNTIF(B6:B23,"derivable")</f>
        <v>0</v>
      </c>
      <c r="C27" s="14" t="n">
        <f aca="false">COUNTIF(C6:C23,"derivable")</f>
        <v>0</v>
      </c>
      <c r="D27" s="14" t="n">
        <f aca="false">COUNTIF(D6:D23,"derivable")</f>
        <v>0</v>
      </c>
      <c r="E27" s="14" t="n">
        <f aca="false">COUNTIF(E6:E23,"derivable")</f>
        <v>0</v>
      </c>
      <c r="F27" s="14" t="n">
        <f aca="false">COUNTIF(F6:F23,"derivable")</f>
        <v>0</v>
      </c>
      <c r="G27" s="14" t="n">
        <f aca="false">COUNTIF(G6:G23,"derivable")</f>
        <v>0</v>
      </c>
      <c r="H27" s="14" t="n">
        <f aca="false">COUNTIF(H6:H23,"derivable")</f>
        <v>0</v>
      </c>
      <c r="I27" s="14" t="n">
        <f aca="false">COUNTIF(I6:I23,"derivable")</f>
        <v>0</v>
      </c>
      <c r="J27" s="14" t="n">
        <f aca="false">COUNTIF(J6:J23,"derivable")</f>
        <v>0</v>
      </c>
      <c r="K27" s="8"/>
    </row>
    <row r="28" customFormat="false" ht="15" hidden="false" customHeight="false" outlineLevel="0" collapsed="false">
      <c r="A28" s="13" t="s">
        <v>48</v>
      </c>
      <c r="B28" s="14" t="n">
        <f aca="false">COUNTIF(B6:B23,"absent")</f>
        <v>0</v>
      </c>
      <c r="C28" s="14" t="n">
        <f aca="false">COUNTIF(C6:C23,"absent")</f>
        <v>4</v>
      </c>
      <c r="D28" s="14" t="n">
        <f aca="false">COUNTIF(D6:D23,"absent")</f>
        <v>5</v>
      </c>
      <c r="E28" s="14" t="n">
        <f aca="false">COUNTIF(E6:E23,"absent")</f>
        <v>0</v>
      </c>
      <c r="F28" s="14" t="n">
        <f aca="false">COUNTIF(F6:F23,"absent")</f>
        <v>0</v>
      </c>
      <c r="G28" s="14" t="n">
        <f aca="false">COUNTIF(G6:G23,"absent")</f>
        <v>0</v>
      </c>
      <c r="H28" s="14" t="n">
        <f aca="false">COUNTIF(H6:H23,"absent")</f>
        <v>0</v>
      </c>
      <c r="I28" s="14" t="n">
        <f aca="false">COUNTIF(I6:I23,"absent")</f>
        <v>0</v>
      </c>
      <c r="J28" s="14" t="n">
        <f aca="false">COUNTIF(J6:J23,"absent")</f>
        <v>16</v>
      </c>
      <c r="K28" s="8"/>
    </row>
    <row r="29" customFormat="false" ht="15" hidden="false" customHeight="false" outlineLevel="0" collapsed="false">
      <c r="A29" s="13" t="s">
        <v>49</v>
      </c>
      <c r="B29" s="14" t="n">
        <f aca="false">COUNTBLANK(B6:B23)</f>
        <v>11</v>
      </c>
      <c r="C29" s="14" t="n">
        <f aca="false">COUNTBLANK(C6:C23)</f>
        <v>10</v>
      </c>
      <c r="D29" s="14" t="n">
        <f aca="false">COUNTBLANK(D6:D23)</f>
        <v>7</v>
      </c>
      <c r="E29" s="14" t="n">
        <f aca="false">COUNTBLANK(E6:E23)</f>
        <v>9</v>
      </c>
      <c r="F29" s="14" t="n">
        <f aca="false">COUNTBLANK(F6:F23)</f>
        <v>18</v>
      </c>
      <c r="G29" s="14" t="n">
        <f aca="false">COUNTBLANK(G6:G23)</f>
        <v>18</v>
      </c>
      <c r="H29" s="14" t="n">
        <f aca="false">COUNTBLANK(H6:H23)</f>
        <v>18</v>
      </c>
      <c r="I29" s="14" t="n">
        <f aca="false">COUNTBLANK(I6:I23)</f>
        <v>18</v>
      </c>
      <c r="J29" s="14" t="n">
        <f aca="false">COUNTBLANK(J6:J23)</f>
        <v>0</v>
      </c>
      <c r="K29" s="8" t="s">
        <v>50</v>
      </c>
    </row>
    <row r="30" customFormat="false" ht="22.35" hidden="false" customHeight="false" outlineLevel="0" collapsed="false">
      <c r="A30" s="15" t="s">
        <v>51</v>
      </c>
      <c r="B30" s="16" t="n">
        <f aca="false">(B25+0.75*B27+0.5*B26)/18</f>
        <v>0.388888888888889</v>
      </c>
      <c r="C30" s="16" t="n">
        <f aca="false">(C25+0.75*C27+0.5*C26)/18</f>
        <v>0.222222222222222</v>
      </c>
      <c r="D30" s="16" t="n">
        <f aca="false">(D25+0.75*D27+0.5*D26)/18</f>
        <v>0.305555555555556</v>
      </c>
      <c r="E30" s="16" t="n">
        <f aca="false">(E25+0.75*E27+0.5*E26)/18</f>
        <v>0.5</v>
      </c>
      <c r="F30" s="16" t="n">
        <f aca="false">(F25+0.75*F27+0.5*F26)/18</f>
        <v>0</v>
      </c>
      <c r="G30" s="16" t="n">
        <f aca="false">(G25+0.75*G27+0.5*G26)/18</f>
        <v>0</v>
      </c>
      <c r="H30" s="16" t="n">
        <f aca="false">(H25+0.75*H27+0.5*H26)/18</f>
        <v>0</v>
      </c>
      <c r="I30" s="16" t="n">
        <f aca="false">(I25+0.75*I27+0.5*I26)/18</f>
        <v>0</v>
      </c>
      <c r="J30" s="16" t="n">
        <f aca="false">(J25+0.75*J27+0.5*J26)/18</f>
        <v>0.111111111111111</v>
      </c>
      <c r="K30" s="8" t="s">
        <v>52</v>
      </c>
    </row>
    <row r="31" customFormat="false" ht="22.35" hidden="false" customHeight="false" outlineLevel="0" collapsed="false">
      <c r="A31" s="17" t="s">
        <v>53</v>
      </c>
      <c r="B31" s="18" t="s">
        <v>54</v>
      </c>
      <c r="C31" s="18" t="s">
        <v>54</v>
      </c>
      <c r="D31" s="18" t="s">
        <v>55</v>
      </c>
      <c r="E31" s="18" t="s">
        <v>56</v>
      </c>
      <c r="F31" s="18" t="s">
        <v>57</v>
      </c>
      <c r="G31" s="18" t="s">
        <v>58</v>
      </c>
      <c r="H31" s="18" t="s">
        <v>59</v>
      </c>
      <c r="I31" s="18" t="s">
        <v>60</v>
      </c>
      <c r="J31" s="18" t="s">
        <v>61</v>
      </c>
      <c r="K31" s="8" t="s">
        <v>62</v>
      </c>
    </row>
    <row r="33" customFormat="false" ht="15" hidden="false" customHeight="false" outlineLevel="0" collapsed="false">
      <c r="A33" s="19" t="s">
        <v>63</v>
      </c>
    </row>
    <row r="35" customFormat="false" ht="15" hidden="false" customHeight="false" outlineLevel="0" collapsed="false">
      <c r="A35" s="20" t="s">
        <v>64</v>
      </c>
    </row>
    <row r="36" customFormat="false" ht="15" hidden="false" customHeight="false" outlineLevel="0" collapsed="false">
      <c r="A36" s="21" t="s">
        <v>15</v>
      </c>
      <c r="B36" s="3" t="s">
        <v>65</v>
      </c>
    </row>
    <row r="37" customFormat="false" ht="15" hidden="false" customHeight="false" outlineLevel="0" collapsed="false">
      <c r="A37" s="22" t="s">
        <v>66</v>
      </c>
      <c r="B37" s="3" t="s">
        <v>67</v>
      </c>
    </row>
    <row r="38" customFormat="false" ht="15" hidden="false" customHeight="false" outlineLevel="0" collapsed="false">
      <c r="A38" s="23" t="s">
        <v>20</v>
      </c>
      <c r="B38" s="3" t="s">
        <v>68</v>
      </c>
    </row>
    <row r="39" customFormat="false" ht="15" hidden="false" customHeight="false" outlineLevel="0" collapsed="false">
      <c r="A39" s="24" t="s">
        <v>17</v>
      </c>
      <c r="B39" s="3" t="s">
        <v>69</v>
      </c>
    </row>
    <row r="40" customFormat="false" ht="15" hidden="false" customHeight="false" outlineLevel="0" collapsed="false">
      <c r="A40" s="25" t="s">
        <v>70</v>
      </c>
      <c r="B40" s="3" t="s">
        <v>71</v>
      </c>
    </row>
  </sheetData>
  <conditionalFormatting sqref="B6:J23">
    <cfRule type="cellIs" priority="2" operator="equal" aboveAverage="0" equalAverage="0" bottom="0" percent="0" rank="0" text="" dxfId="0">
      <formula>"present"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"derivable"</formula>
    </cfRule>
    <cfRule type="cellIs" priority="5" operator="equal" aboveAverage="0" equalAverage="0" bottom="0" percent="0" rank="0" text="" dxfId="3">
      <formula>"absent"</formula>
    </cfRule>
  </conditionalFormatting>
  <dataValidations count="1">
    <dataValidation allowBlank="true" error="Use: present, partial, derivable or absent" errorStyle="stop" operator="between" showDropDown="false" showErrorMessage="false" showInputMessage="false" sqref="B6:J23" type="list">
      <formula1>"present,partial,derivable,absent"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4" min="4" style="0" width="34"/>
    <col collapsed="false" customWidth="true" hidden="false" outlineLevel="0" max="5" min="5" style="0" width="42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72</v>
      </c>
    </row>
    <row r="3" customFormat="false" ht="15" hidden="false" customHeight="false" outlineLevel="0" collapsed="false">
      <c r="A3" s="4" t="s">
        <v>73</v>
      </c>
      <c r="B3" s="4" t="s">
        <v>74</v>
      </c>
      <c r="C3" s="4" t="s">
        <v>75</v>
      </c>
      <c r="D3" s="4" t="s">
        <v>76</v>
      </c>
      <c r="E3" s="4" t="s">
        <v>77</v>
      </c>
      <c r="F3" s="4" t="s">
        <v>78</v>
      </c>
    </row>
    <row r="4" customFormat="false" ht="22.35" hidden="false" customHeight="false" outlineLevel="0" collapsed="false">
      <c r="A4" s="26" t="s">
        <v>79</v>
      </c>
      <c r="B4" s="27" t="s">
        <v>80</v>
      </c>
      <c r="C4" s="27" t="s">
        <v>81</v>
      </c>
      <c r="D4" s="27" t="s">
        <v>82</v>
      </c>
      <c r="E4" s="27" t="s">
        <v>83</v>
      </c>
      <c r="F4" s="28" t="s">
        <v>84</v>
      </c>
    </row>
    <row r="5" customFormat="false" ht="22.35" hidden="false" customHeight="false" outlineLevel="0" collapsed="false">
      <c r="A5" s="29" t="s">
        <v>85</v>
      </c>
      <c r="B5" s="30" t="s">
        <v>86</v>
      </c>
      <c r="C5" s="30" t="s">
        <v>87</v>
      </c>
      <c r="D5" s="30" t="s">
        <v>82</v>
      </c>
      <c r="E5" s="30" t="s">
        <v>88</v>
      </c>
      <c r="F5" s="31" t="s">
        <v>84</v>
      </c>
    </row>
    <row r="6" customFormat="false" ht="22.35" hidden="false" customHeight="false" outlineLevel="0" collapsed="false">
      <c r="A6" s="26" t="s">
        <v>6</v>
      </c>
      <c r="B6" s="27" t="s">
        <v>89</v>
      </c>
      <c r="C6" s="27" t="s">
        <v>90</v>
      </c>
      <c r="D6" s="27" t="s">
        <v>91</v>
      </c>
      <c r="E6" s="27" t="s">
        <v>88</v>
      </c>
      <c r="F6" s="28" t="s">
        <v>84</v>
      </c>
    </row>
    <row r="7" customFormat="false" ht="22.35" hidden="false" customHeight="false" outlineLevel="0" collapsed="false">
      <c r="A7" s="29" t="s">
        <v>92</v>
      </c>
      <c r="B7" s="30" t="s">
        <v>93</v>
      </c>
      <c r="C7" s="30" t="s">
        <v>94</v>
      </c>
      <c r="D7" s="30" t="s">
        <v>95</v>
      </c>
      <c r="E7" s="30" t="s">
        <v>96</v>
      </c>
      <c r="F7" s="31" t="s">
        <v>84</v>
      </c>
    </row>
    <row r="8" customFormat="false" ht="22.35" hidden="false" customHeight="false" outlineLevel="0" collapsed="false">
      <c r="A8" s="26" t="s">
        <v>97</v>
      </c>
      <c r="B8" s="27" t="s">
        <v>98</v>
      </c>
      <c r="C8" s="27" t="s">
        <v>99</v>
      </c>
      <c r="D8" s="27" t="s">
        <v>100</v>
      </c>
      <c r="E8" s="27" t="s">
        <v>101</v>
      </c>
      <c r="F8" s="27" t="s">
        <v>102</v>
      </c>
    </row>
    <row r="9" customFormat="false" ht="22.35" hidden="false" customHeight="false" outlineLevel="0" collapsed="false">
      <c r="A9" s="29" t="s">
        <v>103</v>
      </c>
      <c r="B9" s="30" t="s">
        <v>104</v>
      </c>
      <c r="C9" s="30" t="s">
        <v>105</v>
      </c>
      <c r="D9" s="30" t="s">
        <v>106</v>
      </c>
      <c r="E9" s="30" t="s">
        <v>107</v>
      </c>
      <c r="F9" s="31" t="s">
        <v>84</v>
      </c>
    </row>
    <row r="10" customFormat="false" ht="22.35" hidden="false" customHeight="false" outlineLevel="0" collapsed="false">
      <c r="A10" s="26" t="s">
        <v>108</v>
      </c>
      <c r="B10" s="27" t="s">
        <v>109</v>
      </c>
      <c r="C10" s="27" t="s">
        <v>110</v>
      </c>
      <c r="D10" s="27" t="s">
        <v>111</v>
      </c>
      <c r="E10" s="27" t="s">
        <v>112</v>
      </c>
      <c r="F10" s="28" t="s">
        <v>84</v>
      </c>
    </row>
    <row r="11" customFormat="false" ht="15" hidden="false" customHeight="false" outlineLevel="0" collapsed="false">
      <c r="A11" s="29" t="s">
        <v>113</v>
      </c>
      <c r="B11" s="30" t="s">
        <v>114</v>
      </c>
      <c r="C11" s="30" t="s">
        <v>115</v>
      </c>
      <c r="D11" s="30" t="s">
        <v>116</v>
      </c>
      <c r="E11" s="30" t="s">
        <v>117</v>
      </c>
      <c r="F11" s="31" t="s">
        <v>84</v>
      </c>
    </row>
    <row r="12" customFormat="false" ht="15" hidden="false" customHeight="false" outlineLevel="0" collapsed="false">
      <c r="A12" s="26" t="s">
        <v>118</v>
      </c>
      <c r="B12" s="27" t="s">
        <v>119</v>
      </c>
      <c r="C12" s="27" t="s">
        <v>120</v>
      </c>
      <c r="D12" s="27" t="s">
        <v>121</v>
      </c>
      <c r="E12" s="27" t="s">
        <v>122</v>
      </c>
      <c r="F12" s="28" t="s">
        <v>84</v>
      </c>
    </row>
  </sheetData>
  <hyperlinks>
    <hyperlink ref="F4" r:id="rId1" display="open"/>
    <hyperlink ref="F5" r:id="rId2" display="open"/>
    <hyperlink ref="F6" r:id="rId3" display="open"/>
    <hyperlink ref="F7" r:id="rId4" display="open"/>
    <hyperlink ref="F9" r:id="rId5" display="open"/>
    <hyperlink ref="F10" r:id="rId6" display="open"/>
    <hyperlink ref="F11" r:id="rId7" display="open"/>
    <hyperlink ref="F12" r:id="rId8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123</v>
      </c>
    </row>
    <row r="3" customFormat="false" ht="15" hidden="false" customHeight="false" outlineLevel="0" collapsed="false">
      <c r="A3" s="10" t="s">
        <v>124</v>
      </c>
    </row>
    <row r="4" customFormat="false" ht="15" hidden="false" customHeight="false" outlineLevel="0" collapsed="false">
      <c r="A4" s="32" t="s">
        <v>125</v>
      </c>
    </row>
    <row r="5" customFormat="false" ht="15" hidden="false" customHeight="false" outlineLevel="0" collapsed="false">
      <c r="A5" s="32" t="s">
        <v>126</v>
      </c>
    </row>
    <row r="6" customFormat="false" ht="15" hidden="false" customHeight="false" outlineLevel="0" collapsed="false">
      <c r="A6" s="32" t="s">
        <v>127</v>
      </c>
    </row>
    <row r="7" customFormat="false" ht="15" hidden="false" customHeight="false" outlineLevel="0" collapsed="false">
      <c r="A7" s="32" t="s">
        <v>128</v>
      </c>
    </row>
    <row r="9" customFormat="false" ht="15" hidden="false" customHeight="false" outlineLevel="0" collapsed="false">
      <c r="A9" s="10" t="s">
        <v>129</v>
      </c>
    </row>
    <row r="10" customFormat="false" ht="15" hidden="false" customHeight="false" outlineLevel="0" collapsed="false">
      <c r="A10" s="32" t="s">
        <v>130</v>
      </c>
    </row>
    <row r="11" customFormat="false" ht="15" hidden="false" customHeight="false" outlineLevel="0" collapsed="false">
      <c r="A11" s="32" t="s">
        <v>131</v>
      </c>
    </row>
    <row r="12" customFormat="false" ht="15" hidden="false" customHeight="false" outlineLevel="0" collapsed="false">
      <c r="A12" s="32" t="s">
        <v>132</v>
      </c>
    </row>
    <row r="14" customFormat="false" ht="15" hidden="false" customHeight="false" outlineLevel="0" collapsed="false">
      <c r="A14" s="10" t="s">
        <v>133</v>
      </c>
    </row>
    <row r="15" customFormat="false" ht="15" hidden="false" customHeight="false" outlineLevel="0" collapsed="false">
      <c r="A15" s="32" t="s">
        <v>134</v>
      </c>
    </row>
    <row r="16" customFormat="false" ht="15" hidden="false" customHeight="false" outlineLevel="0" collapsed="false">
      <c r="A16" s="32" t="s">
        <v>135</v>
      </c>
    </row>
    <row r="17" customFormat="false" ht="15" hidden="false" customHeight="false" outlineLevel="0" collapsed="false">
      <c r="A17" s="32" t="s">
        <v>136</v>
      </c>
    </row>
    <row r="18" customFormat="false" ht="15" hidden="false" customHeight="false" outlineLevel="0" collapsed="false">
      <c r="A18" s="32" t="s">
        <v>137</v>
      </c>
    </row>
    <row r="20" customFormat="false" ht="15" hidden="false" customHeight="false" outlineLevel="0" collapsed="false">
      <c r="A20" s="10" t="s">
        <v>138</v>
      </c>
    </row>
    <row r="21" customFormat="false" ht="15" hidden="false" customHeight="false" outlineLevel="0" collapsed="false">
      <c r="A21" s="32" t="s">
        <v>139</v>
      </c>
    </row>
    <row r="22" customFormat="false" ht="15" hidden="false" customHeight="false" outlineLevel="0" collapsed="false">
      <c r="A22" s="32" t="s">
        <v>140</v>
      </c>
    </row>
    <row r="23" customFormat="false" ht="15" hidden="false" customHeight="false" outlineLevel="0" collapsed="false">
      <c r="A23" s="32" t="s">
        <v>141</v>
      </c>
    </row>
    <row r="25" customFormat="false" ht="15" hidden="false" customHeight="false" outlineLevel="0" collapsed="false">
      <c r="A25" s="10" t="s">
        <v>142</v>
      </c>
    </row>
    <row r="26" customFormat="false" ht="15" hidden="false" customHeight="false" outlineLevel="0" collapsed="false">
      <c r="A26" s="32" t="s">
        <v>143</v>
      </c>
    </row>
    <row r="27" customFormat="false" ht="15" hidden="false" customHeight="false" outlineLevel="0" collapsed="false">
      <c r="A27" s="32" t="s">
        <v>144</v>
      </c>
    </row>
    <row r="28" customFormat="false" ht="15" hidden="false" customHeight="false" outlineLevel="0" collapsed="false">
      <c r="A28" s="32" t="s">
        <v>145</v>
      </c>
    </row>
    <row r="30" customFormat="false" ht="15" hidden="false" customHeight="false" outlineLevel="0" collapsed="false">
      <c r="A30" s="10" t="s">
        <v>146</v>
      </c>
    </row>
    <row r="31" customFormat="false" ht="15" hidden="false" customHeight="false" outlineLevel="0" collapsed="false">
      <c r="A31" s="32" t="s">
        <v>147</v>
      </c>
    </row>
    <row r="32" customFormat="false" ht="15" hidden="false" customHeight="false" outlineLevel="0" collapsed="false">
      <c r="A32" s="32" t="s">
        <v>148</v>
      </c>
    </row>
    <row r="33" customFormat="false" ht="15" hidden="false" customHeight="false" outlineLevel="0" collapsed="false">
      <c r="A33" s="32" t="s">
        <v>149</v>
      </c>
    </row>
    <row r="34" customFormat="false" ht="15" hidden="false" customHeight="false" outlineLevel="0" collapsed="false">
      <c r="A34" s="32" t="s">
        <v>150</v>
      </c>
    </row>
    <row r="35" customFormat="false" ht="15" hidden="false" customHeight="false" outlineLevel="0" collapsed="false">
      <c r="A35" s="32" t="s">
        <v>151</v>
      </c>
    </row>
    <row r="37" customFormat="false" ht="15" hidden="false" customHeight="false" outlineLevel="0" collapsed="false">
      <c r="A37" s="10" t="s">
        <v>152</v>
      </c>
    </row>
    <row r="38" customFormat="false" ht="15" hidden="false" customHeight="false" outlineLevel="0" collapsed="false">
      <c r="A38" s="32" t="s">
        <v>153</v>
      </c>
    </row>
    <row r="39" customFormat="false" ht="15" hidden="false" customHeight="false" outlineLevel="0" collapsed="false">
      <c r="A39" s="32" t="s">
        <v>154</v>
      </c>
    </row>
    <row r="41" customFormat="false" ht="15" hidden="false" customHeight="false" outlineLevel="0" collapsed="false">
      <c r="A41" s="10" t="s">
        <v>155</v>
      </c>
    </row>
    <row r="42" customFormat="false" ht="15" hidden="false" customHeight="false" outlineLevel="0" collapsed="false">
      <c r="A42" s="32" t="s">
        <v>156</v>
      </c>
    </row>
    <row r="43" customFormat="false" ht="15" hidden="false" customHeight="false" outlineLevel="0" collapsed="false">
      <c r="A43" s="32" t="s">
        <v>157</v>
      </c>
    </row>
    <row r="44" customFormat="false" ht="15" hidden="false" customHeight="false" outlineLevel="0" collapsed="false">
      <c r="A44" s="32" t="s">
        <v>158</v>
      </c>
    </row>
    <row r="45" customFormat="false" ht="15" hidden="false" customHeight="false" outlineLevel="0" collapsed="false">
      <c r="A45" s="32" t="s">
        <v>159</v>
      </c>
    </row>
    <row r="47" customFormat="false" ht="15" hidden="false" customHeight="false" outlineLevel="0" collapsed="false">
      <c r="A47" s="10" t="s">
        <v>160</v>
      </c>
    </row>
    <row r="48" customFormat="false" ht="15" hidden="false" customHeight="false" outlineLevel="0" collapsed="false">
      <c r="A48" s="32" t="s">
        <v>161</v>
      </c>
    </row>
    <row r="49" customFormat="false" ht="15" hidden="false" customHeight="false" outlineLevel="0" collapsed="false">
      <c r="A49" s="32" t="s">
        <v>162</v>
      </c>
    </row>
    <row r="50" customFormat="false" ht="15" hidden="false" customHeight="false" outlineLevel="0" collapsed="false">
      <c r="A50" s="32" t="s">
        <v>163</v>
      </c>
    </row>
    <row r="51" customFormat="false" ht="15" hidden="false" customHeight="false" outlineLevel="0" collapsed="false">
      <c r="A51" s="32" t="s">
        <v>164</v>
      </c>
    </row>
    <row r="52" customFormat="false" ht="15" hidden="false" customHeight="false" outlineLevel="0" collapsed="false">
      <c r="A52" s="32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2026-09-22T20:38:16Z</dcterms:created>
  <dc:creator>openpyxl</dc:creator>
  <dc:description/>
  <dc:language>en-US</dc:language>
  <cp:lastModifiedBy/>
  <dcterms:modified xsi:type="dcterms:W3CDTF">2026-09-22T20:38:16Z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